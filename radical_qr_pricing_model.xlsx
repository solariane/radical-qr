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Volumes/fastMe/Code/qr app/"/>
    </mc:Choice>
  </mc:AlternateContent>
  <xr:revisionPtr revIDLastSave="0" documentId="13_ncr:1_{702E03D6-4224-5E46-A7A0-0F38419CD79A}" xr6:coauthVersionLast="47" xr6:coauthVersionMax="47" xr10:uidLastSave="{00000000-0000-0000-0000-000000000000}"/>
  <bookViews>
    <workbookView xWindow="4880" yWindow="660" windowWidth="51320" windowHeight="30740" activeTab="1" xr2:uid="{00000000-000D-0000-FFFF-FFFF00000000}"/>
  </bookViews>
  <sheets>
    <sheet name="Pricing" sheetId="1" r:id="rId1"/>
    <sheet name="Distribution" sheetId="2" r:id="rId2"/>
    <sheet name="Revenue Simulation" sheetId="3" r:id="rId3"/>
    <sheet name="KPIs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I3" i="2"/>
  <c r="H3" i="2"/>
  <c r="G3" i="2"/>
  <c r="F3" i="2"/>
  <c r="F2" i="2"/>
  <c r="B2" i="2" a="1"/>
  <c r="B2" i="2" s="1"/>
  <c r="B3" i="2" s="1"/>
  <c r="A9" i="2"/>
  <c r="A10" i="2"/>
  <c r="A8" i="2"/>
  <c r="A3" i="2"/>
  <c r="A2" i="2"/>
  <c r="D2" i="3" l="1"/>
  <c r="C2" i="2"/>
  <c r="B8" i="2" s="1"/>
  <c r="C3" i="2" s="1"/>
  <c r="B9" i="2" s="1"/>
  <c r="B2" i="3"/>
  <c r="D3" i="3" l="1"/>
  <c r="B10" i="2"/>
  <c r="B3" i="3"/>
  <c r="C3" i="3" s="1"/>
  <c r="B11" i="2"/>
  <c r="B4" i="3"/>
  <c r="C4" i="3" s="1"/>
  <c r="D4" i="3"/>
  <c r="E4" i="3"/>
  <c r="E2" i="3"/>
  <c r="G2" i="3" s="1"/>
  <c r="E3" i="3"/>
  <c r="C2" i="3"/>
  <c r="C5" i="3" s="1"/>
  <c r="D5" i="3" l="1"/>
  <c r="G3" i="3"/>
  <c r="B5" i="3"/>
  <c r="G4" i="3"/>
  <c r="F4" i="3"/>
  <c r="F3" i="3"/>
  <c r="F2" i="3"/>
  <c r="E5" i="3"/>
  <c r="C2" i="4" s="1"/>
  <c r="D12" i="3"/>
  <c r="C12" i="3"/>
  <c r="C13" i="3" s="1"/>
  <c r="D13" i="3" s="1"/>
  <c r="G5" i="3"/>
  <c r="F5" i="3" l="1"/>
  <c r="C4" i="4"/>
  <c r="C5" i="4" s="1"/>
  <c r="C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<sst xmlns="http://schemas.openxmlformats.org/spreadsheetml/2006/main" count="51" uniqueCount="45">
  <si>
    <t>Plan</t>
  </si>
  <si>
    <t>Monthly Price (€)</t>
  </si>
  <si>
    <t>Pro</t>
  </si>
  <si>
    <t>Agency</t>
  </si>
  <si>
    <t>Metric</t>
  </si>
  <si>
    <t>Value</t>
  </si>
  <si>
    <t>Total Paying Users</t>
  </si>
  <si>
    <t>Users</t>
  </si>
  <si>
    <t>Monthly Revenue (€)</t>
  </si>
  <si>
    <t>Annual Cash (€)</t>
  </si>
  <si>
    <t>KPI</t>
  </si>
  <si>
    <t>Formula</t>
  </si>
  <si>
    <t>MRR</t>
  </si>
  <si>
    <t>ARR</t>
  </si>
  <si>
    <t>ARPU</t>
  </si>
  <si>
    <t>Free to Paid Conversion</t>
  </si>
  <si>
    <t>Target: 2-5%</t>
  </si>
  <si>
    <t>Agency+ Share</t>
  </si>
  <si>
    <t>Target: &gt;=35%</t>
  </si>
  <si>
    <t>Annual Share</t>
  </si>
  <si>
    <t>Target: 25-35%</t>
  </si>
  <si>
    <t>Churn (monthly)</t>
  </si>
  <si>
    <t>Target: &lt;5%</t>
  </si>
  <si>
    <t>Monthly from Annual subscriber</t>
  </si>
  <si>
    <t>Total</t>
  </si>
  <si>
    <t>websites</t>
  </si>
  <si>
    <t>total websites</t>
  </si>
  <si>
    <t>using my solution</t>
  </si>
  <si>
    <t>LTV(12month)</t>
  </si>
  <si>
    <t>Monthly total equivalent</t>
  </si>
  <si>
    <t>Paying / Free</t>
  </si>
  <si>
    <t>paying my solution</t>
  </si>
  <si>
    <t>Colonne1</t>
  </si>
  <si>
    <t>Colonne2</t>
  </si>
  <si>
    <t>Colonne3</t>
  </si>
  <si>
    <t>Colonne4</t>
  </si>
  <si>
    <t>Current</t>
  </si>
  <si>
    <t>Clients</t>
  </si>
  <si>
    <t>total required</t>
  </si>
  <si>
    <t>Starter</t>
  </si>
  <si>
    <t>upTo</t>
  </si>
  <si>
    <t>Value2</t>
  </si>
  <si>
    <t>Value3</t>
  </si>
  <si>
    <t>Value4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</si>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</sst>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* #,##0.00_)\ &quot;€&quot;_ ;_ * \(#,##0.00\)\ &quot;€&quot;_ ;_ * &quot;-&quot;??_)\ &quot;€&quot;_ ;_ @_ "/>
    <numFmt numFmtId="43" formatCode="_ * #,##0.00_)_ ;_ * \(#,##0.00\)_ ;_ * &quot;-&quot;??_)_ ;_ @_ "/>
    <numFmt numFmtId="164" formatCode="_ * #,##0_)\ &quot;€&quot;_ ;_ * \(#,##0\)\ &quot;€&quot;_ ;_ * &quot;-&quot;??_)\ &quot;€&quot;_ ;_ @_ "/>
    <numFmt numFmtId="165" formatCode="_ * #,##0_)_ ;_ * \(#,##0\)_ ;_ * &quot;-&quot;??_)_ ;_ @_ "/>
    <numFmt numFmtId="166" formatCode="0.000%"/>
    <numFmt numFmtId="168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7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/>
      <top/>
      <bottom style="thin">
        <color theme="7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/>
    <xf numFmtId="0" fontId="3" fillId="2" borderId="0" xfId="0" applyFont="1" applyFill="1"/>
    <xf numFmtId="0" fontId="2" fillId="0" borderId="2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64" fontId="0" fillId="0" borderId="0" xfId="2" applyNumberFormat="1" applyFont="1"/>
    <xf numFmtId="9" fontId="0" fillId="0" borderId="0" xfId="0" applyNumberFormat="1"/>
    <xf numFmtId="165" fontId="3" fillId="4" borderId="0" xfId="1" applyNumberFormat="1" applyFont="1" applyFill="1"/>
    <xf numFmtId="165" fontId="0" fillId="0" borderId="0" xfId="0" applyNumberFormat="1"/>
    <xf numFmtId="165" fontId="0" fillId="0" borderId="0" xfId="1" applyNumberFormat="1" applyFont="1"/>
    <xf numFmtId="164" fontId="0" fillId="0" borderId="0" xfId="0" applyNumberFormat="1"/>
    <xf numFmtId="166" fontId="0" fillId="0" borderId="0" xfId="3" applyNumberFormat="1" applyFont="1"/>
    <xf numFmtId="165" fontId="3" fillId="0" borderId="0" xfId="1" applyNumberFormat="1" applyFont="1" applyFill="1"/>
    <xf numFmtId="9" fontId="4" fillId="3" borderId="0" xfId="3" applyFont="1" applyFill="1"/>
    <xf numFmtId="0" fontId="0" fillId="0" borderId="0" xfId="0" applyAlignment="1">
      <alignment horizontal="right"/>
    </xf>
    <xf numFmtId="0" fontId="5" fillId="2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165" fontId="2" fillId="0" borderId="0" xfId="1" applyNumberFormat="1" applyFont="1" applyFill="1"/>
    <xf numFmtId="168" fontId="0" fillId="0" borderId="0" xfId="0" applyNumberFormat="1"/>
  </cellXfs>
  <cellStyles count="4">
    <cellStyle name="Milliers" xfId="1" builtinId="3"/>
    <cellStyle name="Monétaire" xfId="2" builtinId="4"/>
    <cellStyle name="Normal" xfId="0" builtinId="0"/>
    <cellStyle name="Pourcentage" xfId="3" builtinId="5"/>
  </cellStyles>
  <dxfs count="23">
    <dxf>
      <numFmt numFmtId="164" formatCode="_ * #,##0_)\ &quot;€&quot;_ ;_ * \(#,##0\)\ &quot;€&quot;_ ;_ * &quot;-&quot;??_)\ &quot;€&quot;_ ;_ @_ "/>
    </dxf>
    <dxf>
      <numFmt numFmtId="164" formatCode="_ * #,##0_)\ &quot;€&quot;_ ;_ * \(#,##0\)\ &quot;€&quot;_ ;_ * &quot;-&quot;??_)\ &quot;€&quot;_ ;_ @_ "/>
    </dxf>
    <dxf>
      <numFmt numFmtId="164" formatCode="_ * #,##0_)\ &quot;€&quot;_ ;_ * \(#,##0\)\ &quot;€&quot;_ ;_ * &quot;-&quot;??_)\ &quot;€&quot;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)\ &quot;€&quot;_ ;_ * \(#,##0\)\ &quot;€&quot;_ ;_ * &quot;-&quot;??_)\ &quot;€&quot;_ ;_ @_ "/>
    </dxf>
    <dxf>
      <numFmt numFmtId="164" formatCode="_ * #,##0_)\ &quot;€&quot;_ ;_ * \(#,##0\)\ &quot;€&quot;_ ;_ * &quot;-&quot;??_)\ &quot;€&quot;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)\ &quot;€&quot;_ ;_ * \(#,##0\)\ &quot;€&quot;_ ;_ * &quot;-&quot;??_)\ &quot;€&quot;_ ;_ @_ "/>
    </dxf>
    <dxf>
      <numFmt numFmtId="164" formatCode="_ * #,##0_)\ &quot;€&quot;_ ;_ * \(#,##0\)\ &quot;€&quot;_ ;_ * &quot;-&quot;??_)\ &quot;€&quot;_ ;_ @_ "/>
    </dxf>
    <dxf>
      <numFmt numFmtId="164" formatCode="_ * #,##0_)\ &quot;€&quot;_ ;_ * \(#,##0\)\ &quot;€&quot;_ ;_ * &quot;-&quot;??_)\ &quot;€&quot;_ ;_ @_ "/>
    </dxf>
    <dxf>
      <numFmt numFmtId="165" formatCode="_ * #,##0_)_ ;_ * \(#,##0\)_ ;_ * &quot;-&quot;??_)_ ;_ @_ "/>
    </dxf>
    <dxf>
      <numFmt numFmtId="165" formatCode="_ * #,##0_)_ ;_ * \(#,##0\)_ ;_ * &quot;-&quot;??_)_ ;_ @_ "/>
    </dxf>
    <dxf>
      <numFmt numFmtId="165" formatCode="_ * #,##0_)_ ;_ * \(#,##0\)_ ;_ * &quot;-&quot;??_)_ ;_ @_ "/>
    </dxf>
    <dxf>
      <numFmt numFmtId="165" formatCode="_ * #,##0_)_ ;_ * \(#,##0\)_ ;_ * &quot;-&quot;??_)_ ;_ @_ "/>
    </dxf>
    <dxf>
      <numFmt numFmtId="0" formatCode="General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Calibri"/>
        <family val="2"/>
        <scheme val="minor"/>
      </font>
      <numFmt numFmtId="165" formatCode="_ * #,##0_)_ ;_ * \(#,##0\)_ ;_ * &quot;-&quot;??_)_ ;_ @_ "/>
      <fill>
        <patternFill patternType="solid">
          <fgColor theme="7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</dxf>
    <dxf>
      <border outline="0">
        <top style="thin">
          <color theme="7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Calibri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</dxf>
    <dxf>
      <border outline="0">
        <bottom style="thin">
          <color theme="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Calibri"/>
        <family val="2"/>
        <scheme val="minor"/>
      </font>
    </dxf>
    <dxf>
      <numFmt numFmtId="165" formatCode="_ * #,##0_)_ ;_ * \(#,##0\)_ ;_ * &quot;-&quot;??_)_ ;_ @_ "/>
    </dxf>
    <dxf>
      <border outline="0">
        <bottom style="thin">
          <color theme="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62491B-D699-F941-A32D-81598BA65D43}" name="Pricing" displayName="Pricing" ref="A1:B3" totalsRowShown="0">
  <autoFilter ref="A1:B3" xr:uid="{6162491B-D699-F941-A32D-81598BA65D43}">
    <filterColumn colId="0" hiddenButton="1"/>
    <filterColumn colId="1" hiddenButton="1"/>
  </autoFilter>
  <tableColumns count="2">
    <tableColumn id="1" xr3:uid="{3AF4CD8F-A221-A64D-9B8C-6A18C302E9B1}" name="Plan"/>
    <tableColumn id="2" xr3:uid="{E0BB24EE-2530-ED41-811F-D4A5604B9BC6}" name="Monthly Price (€)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775CA-FDFE-284E-98C5-977727823F09}" name="marketHyp" displayName="marketHyp" ref="A1:C4" totalsRowShown="0" headerRowDxfId="22" headerRowBorderDxfId="21">
  <autoFilter ref="A1:C4" xr:uid="{BF0775CA-FDFE-284E-98C5-977727823F09}">
    <filterColumn colId="0" hiddenButton="1"/>
    <filterColumn colId="1" hiddenButton="1"/>
    <filterColumn colId="2" hiddenButton="1"/>
  </autoFilter>
  <tableColumns count="3">
    <tableColumn id="1" xr3:uid="{AA7FEE00-B638-1E45-8BFA-1E03BC073C86}" name="Metric"/>
    <tableColumn id="2" xr3:uid="{D2DEFEF8-8DF5-C643-9486-B839BB390553}" name="Value"/>
    <tableColumn id="3" xr3:uid="{5F6134F7-B052-9840-A03F-A01EAB60DFE8}" name="Clients" dataDxfId="20">
      <calculatedColumnFormula>$B$7*marketHyp[[#This Row],[Value]]</calculatedColumnFormula>
    </tableColumn>
  </tableColumns>
  <tableStyleInfo name="TableStyleLight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4D88E2-A549-0A4A-83F3-2997EBCE179D}" name="hypotheses" displayName="hypotheses" ref="A6:B11" totalsRowShown="0" headerRowDxfId="19" dataDxfId="17" headerRowBorderDxfId="18" tableBorderDxfId="16">
  <autoFilter ref="A6:B11" xr:uid="{0E4D88E2-A549-0A4A-83F3-2997EBCE179D}">
    <filterColumn colId="0" hiddenButton="1"/>
    <filterColumn colId="1" hiddenButton="1"/>
  </autoFilter>
  <tableColumns count="2">
    <tableColumn id="1" xr3:uid="{A37A993B-1F1D-1A40-BCE2-92BC3F6662B9}" name="Metric" dataDxfId="15"/>
    <tableColumn id="2" xr3:uid="{547EEDFE-F82E-8940-ABDC-0C0B2881CB36}" name="Value" dataDxfId="14" dataCellStyle="Milliers"/>
  </tableColumns>
  <tableStyleInfo name="TableStyleLight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31219F-6867-AE4D-A90C-9C9981FF99B5}" name="threshold" displayName="threshold" ref="F1:J4" totalsRowShown="0">
  <autoFilter ref="F1:J4" xr:uid="{EB31219F-6867-AE4D-A90C-9C9981FF99B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62D541CD-38CD-DD42-9489-8CF31A6EBB4F}" name="Colonne1"/>
    <tableColumn id="2" xr3:uid="{27E9CD07-3142-A24A-8206-171321F8CA3C}" name="Value"/>
    <tableColumn id="3" xr3:uid="{67AFDC49-5D5C-994E-85C1-A0501ABE65D2}" name="Value2"/>
    <tableColumn id="4" xr3:uid="{D1F02D10-1A66-6341-9381-C7BC0D63EED3}" name="Value3"/>
    <tableColumn id="5" xr3:uid="{58863000-A4F2-B641-B9DE-668FBB486C00}" name="Value4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79609A-C48C-7A44-9B71-9483148F7BDC}" name="Revenues" displayName="Revenues" ref="A1:G5" totalsRowCount="1" headerRowDxfId="13">
  <autoFilter ref="A1:G4" xr:uid="{0079609A-C48C-7A44-9B71-9483148F7B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8CA7514-B5A0-8449-9D5F-7046D1B9AE37}" name="Plan" totalsRowLabel="Total" dataDxfId="12">
      <calculatedColumnFormula>Pricing[[#This Row],[Plan]]</calculatedColumnFormula>
    </tableColumn>
    <tableColumn id="2" xr3:uid="{CBB4AD25-072D-374B-83E9-1FA3F76F28C9}" name="Users" totalsRowFunction="sum" dataDxfId="11" totalsRowDxfId="10">
      <calculatedColumnFormula>Distribution!$B$7*marketHyp[[#This Row],[Value]]</calculatedColumnFormula>
    </tableColumn>
    <tableColumn id="6" xr3:uid="{5E49F87A-C851-2B4B-A70A-3F9D5CAE8697}" name="websites" totalsRowFunction="sum" dataDxfId="9" totalsRowDxfId="8">
      <calculatedColumnFormula>Revenues[[#This Row],[Users]]*#REF!</calculatedColumnFormula>
    </tableColumn>
    <tableColumn id="3" xr3:uid="{0F9A0281-230B-A044-BDB6-DA36F4F89E0D}" name="Monthly Revenue (€)" totalsRowFunction="sum" dataDxfId="7" totalsRowDxfId="6" dataCellStyle="Monétaire">
      <calculatedColumnFormula>Pricing[[#This Row],[Monthly Price (€)]]*Distribution!$B$7*marketHyp[[#This Row],[Value]]*Distribution!#REF!</calculatedColumnFormula>
    </tableColumn>
    <tableColumn id="5" xr3:uid="{9E860437-F7DC-564A-8A3E-EB1961135329}" name="Monthly from Annual subscriber" totalsRowFunction="sum" dataDxfId="5" totalsRowDxfId="4" dataCellStyle="Monétaire">
      <calculatedColumnFormula>(#REF! / 12 )*Distribution!$B$7*marketHyp[[#This Row],[Value]]*Distribution!#REF!</calculatedColumnFormula>
    </tableColumn>
    <tableColumn id="7" xr3:uid="{56EEF81A-D3BA-F748-89F6-DE85536E6CCD}" name="Monthly total equivalent" totalsRowFunction="sum" dataDxfId="3" totalsRowDxfId="2" dataCellStyle="Monétaire">
      <calculatedColumnFormula>SUM(Revenues[[#This Row],[Monthly Revenue (€)]]+Revenues[[#This Row],[Monthly from Annual subscriber]])</calculatedColumnFormula>
    </tableColumn>
    <tableColumn id="4" xr3:uid="{24DD70AE-2B29-8A44-9ADA-CB5288083BB4}" name="Annual Cash (€)" totalsRowFunction="sum" dataDxfId="1" totalsRowDxfId="0" dataCellStyle="Monétaire">
      <calculatedColumnFormula>12*(Revenues[[#This Row],[Monthly Revenue (€)]]+Revenues[[#This Row],[Monthly from Annual subscriber]])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486D99-BA81-2148-AC52-50EC5FFD340E}" name="Tableau6" displayName="Tableau6" ref="A10:D13" totalsRowShown="0">
  <autoFilter ref="A10:D13" xr:uid="{2B486D99-BA81-2148-AC52-50EC5FFD340E}"/>
  <tableColumns count="4">
    <tableColumn id="1" xr3:uid="{50E34452-E8CD-1349-A5A8-62D78770E693}" name="Colonne1"/>
    <tableColumn id="2" xr3:uid="{50912321-8CF7-5248-B0CF-477C43AF18F2}" name="Colonne2"/>
    <tableColumn id="3" xr3:uid="{4A9D5641-E06B-8C4D-A4E9-627EAFD7F36B}" name="Colonne3"/>
    <tableColumn id="4" xr3:uid="{B39E01F7-BE84-C34C-B703-283246EEE492}" name="Colonne4"/>
  </tableColumns>
  <tableStyleInfo name="TableStyleMedium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54AD41-1118-4D4D-B924-D75C61372701}" name="Tableau5" displayName="Tableau5" ref="A1:C9" totalsRowShown="0">
  <autoFilter ref="A1:C9" xr:uid="{2654AD41-1118-4D4D-B924-D75C61372701}">
    <filterColumn colId="0" hiddenButton="1"/>
    <filterColumn colId="1" hiddenButton="1"/>
    <filterColumn colId="2" hiddenButton="1"/>
  </autoFilter>
  <tableColumns count="3">
    <tableColumn id="1" xr3:uid="{93A7F2BF-0D5D-2940-9DA6-3E9DD8849926}" name="KPI"/>
    <tableColumn id="2" xr3:uid="{52CE46E5-50E4-444C-8605-9A20779C98A2}" name="Formula"/>
    <tableColumn id="3" xr3:uid="{C1FFD26A-44F2-6E45-AD0A-9B57DCD76CDF}" name="Current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A00B1D-B029-4241-BA05-56EDF28155E4}">
  <we:reference id="wa200009404" version="1.0.0.5" store="en-US" storeType="OMEX"/>
  <we:alternateReferences>
    <we:reference id="WA200009404" version="1.0.0.5" store="" storeType="OMEX"/>
  </we:alternateReferences>
  <we:properties>
    <we:property name="claude.fileId" value="&quot;ef26c640-601b-444a-bd70-8d42dfc3a36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="218" workbookViewId="0">
      <selection activeCell="A4" sqref="A4:XFD4"/>
    </sheetView>
  </sheetViews>
  <sheetFormatPr baseColWidth="10" defaultColWidth="8.83203125" defaultRowHeight="15" x14ac:dyDescent="0.2"/>
  <cols>
    <col min="2" max="2" width="16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4.99</v>
      </c>
    </row>
    <row r="3" spans="1:2" x14ac:dyDescent="0.2">
      <c r="A3" t="s">
        <v>44</v>
      </c>
      <c r="B3">
        <v>8.99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abSelected="1" zoomScale="329" workbookViewId="0">
      <selection activeCell="C13" sqref="C13"/>
    </sheetView>
  </sheetViews>
  <sheetFormatPr baseColWidth="10" defaultColWidth="8.83203125" defaultRowHeight="15" x14ac:dyDescent="0.2"/>
  <cols>
    <col min="1" max="1" width="19.33203125" customWidth="1"/>
    <col min="2" max="2" width="10.1640625" bestFit="1" customWidth="1"/>
    <col min="6" max="6" width="11" customWidth="1"/>
    <col min="7" max="7" width="10.1640625" bestFit="1" customWidth="1"/>
    <col min="8" max="8" width="9" customWidth="1"/>
    <col min="9" max="9" width="10" bestFit="1" customWidth="1"/>
    <col min="10" max="10" width="12" bestFit="1" customWidth="1"/>
  </cols>
  <sheetData>
    <row r="1" spans="1:10" x14ac:dyDescent="0.2">
      <c r="A1" s="1" t="s">
        <v>4</v>
      </c>
      <c r="B1" s="1" t="s">
        <v>5</v>
      </c>
      <c r="C1" s="3" t="s">
        <v>37</v>
      </c>
      <c r="F1" t="s">
        <v>32</v>
      </c>
      <c r="G1" t="s">
        <v>5</v>
      </c>
      <c r="H1" t="s">
        <v>41</v>
      </c>
      <c r="I1" t="s">
        <v>42</v>
      </c>
      <c r="J1" t="s">
        <v>43</v>
      </c>
    </row>
    <row r="2" spans="1:10" x14ac:dyDescent="0.2">
      <c r="A2" t="str">
        <f>Pricing[[#This Row],[Plan]] &amp;" %"</f>
        <v>Pro %</v>
      </c>
      <c r="B2" s="14" cm="1">
        <f t="array" ref="B2">INDEX(threshold[[#This Row],[Value]:[Value4]],MATCH(TRUE,G4:J4&gt;=B7,0))</f>
        <v>0.97</v>
      </c>
      <c r="C2" s="9">
        <f>$B$7*marketHyp[[#This Row],[Value]]</f>
        <v>19400</v>
      </c>
      <c r="F2" t="str">
        <f>Pricing[[#This Row],[Plan]]</f>
        <v>Pro</v>
      </c>
      <c r="G2" s="7">
        <v>0.95</v>
      </c>
      <c r="H2" s="7">
        <v>0.97</v>
      </c>
      <c r="I2" s="7">
        <v>0.99</v>
      </c>
      <c r="J2" s="7">
        <v>0.999</v>
      </c>
    </row>
    <row r="3" spans="1:10" x14ac:dyDescent="0.2">
      <c r="A3" t="str">
        <f>Pricing[[#This Row],[Plan]] &amp;" %"</f>
        <v>Premium %</v>
      </c>
      <c r="B3" s="14">
        <f>1-B2</f>
        <v>3.0000000000000027E-2</v>
      </c>
      <c r="C3" s="9">
        <f>$B$7*marketHyp[[#This Row],[Value]]</f>
        <v>600.00000000000057</v>
      </c>
      <c r="F3" t="str">
        <f>Pricing[[#This Row],[Plan]]</f>
        <v>Premium</v>
      </c>
      <c r="G3" s="7">
        <f>1-G2</f>
        <v>5.0000000000000044E-2</v>
      </c>
      <c r="H3" s="7">
        <f>1-H2</f>
        <v>3.0000000000000027E-2</v>
      </c>
      <c r="I3" s="7">
        <f>1-I2</f>
        <v>1.0000000000000009E-2</v>
      </c>
      <c r="J3" s="19">
        <f>1-J2</f>
        <v>1.0000000000000009E-3</v>
      </c>
    </row>
    <row r="4" spans="1:10" x14ac:dyDescent="0.2">
      <c r="A4" t="s">
        <v>30</v>
      </c>
      <c r="B4" s="7">
        <v>0.03</v>
      </c>
      <c r="C4" s="9"/>
      <c r="F4" s="15" t="s">
        <v>40</v>
      </c>
      <c r="G4" s="10">
        <v>10000</v>
      </c>
      <c r="H4" s="10">
        <v>50000</v>
      </c>
      <c r="I4" s="10">
        <v>100000</v>
      </c>
      <c r="J4" s="10">
        <v>100000000</v>
      </c>
    </row>
    <row r="6" spans="1:10" x14ac:dyDescent="0.2">
      <c r="A6" s="3" t="s">
        <v>4</v>
      </c>
      <c r="B6" s="3" t="s">
        <v>5</v>
      </c>
    </row>
    <row r="7" spans="1:10" x14ac:dyDescent="0.2">
      <c r="A7" s="2" t="s">
        <v>6</v>
      </c>
      <c r="B7" s="8">
        <v>20000</v>
      </c>
    </row>
    <row r="8" spans="1:10" x14ac:dyDescent="0.2">
      <c r="A8" s="16" t="str">
        <f>"Required " &amp; Pricing!A2 &amp; " users-&gt;"</f>
        <v>Required Pro users-&gt;</v>
      </c>
      <c r="B8" s="13">
        <f>C2/B$4</f>
        <v>646666.66666666674</v>
      </c>
    </row>
    <row r="9" spans="1:10" x14ac:dyDescent="0.2">
      <c r="A9" s="16" t="str">
        <f>"Required " &amp; Pricing!A3 &amp; " users-&gt;"</f>
        <v>Required Premium users-&gt;</v>
      </c>
      <c r="B9" s="13">
        <f>C3/B$4</f>
        <v>20000.000000000018</v>
      </c>
    </row>
    <row r="10" spans="1:10" x14ac:dyDescent="0.2">
      <c r="A10" s="16" t="e">
        <f>"Required " &amp; Pricing!#REF! &amp; " users-&gt;"</f>
        <v>#REF!</v>
      </c>
      <c r="B10" s="13" t="e">
        <f>#REF!/B$4</f>
        <v>#REF!</v>
      </c>
    </row>
    <row r="11" spans="1:10" x14ac:dyDescent="0.2">
      <c r="A11" s="17" t="s">
        <v>38</v>
      </c>
      <c r="B11" s="18" t="e">
        <f>SUM(B8:B10)</f>
        <v>#REF!</v>
      </c>
    </row>
  </sheetData>
  <phoneticPr fontId="6" type="noConversion"/>
  <pageMargins left="0.75" right="0.75" top="1" bottom="1" header="0.5" footer="0.5"/>
  <pageSetup paperSize="9" orientation="portrait" horizontalDpi="0" verticalDpi="0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zoomScale="134" workbookViewId="0">
      <selection activeCell="D20" sqref="D20"/>
    </sheetView>
  </sheetViews>
  <sheetFormatPr baseColWidth="10" defaultColWidth="8.83203125" defaultRowHeight="15" x14ac:dyDescent="0.2"/>
  <cols>
    <col min="1" max="1" width="16.6640625" customWidth="1"/>
    <col min="2" max="2" width="12.83203125" customWidth="1"/>
    <col min="3" max="3" width="15.6640625" customWidth="1"/>
    <col min="4" max="6" width="19.6640625" customWidth="1"/>
    <col min="7" max="7" width="15.1640625" customWidth="1"/>
  </cols>
  <sheetData>
    <row r="1" spans="1:7" s="4" customFormat="1" ht="32" x14ac:dyDescent="0.2">
      <c r="A1" s="5" t="s">
        <v>0</v>
      </c>
      <c r="B1" s="5" t="s">
        <v>7</v>
      </c>
      <c r="C1" s="5" t="s">
        <v>25</v>
      </c>
      <c r="D1" s="5" t="s">
        <v>8</v>
      </c>
      <c r="E1" s="5" t="s">
        <v>23</v>
      </c>
      <c r="F1" s="5" t="s">
        <v>29</v>
      </c>
      <c r="G1" s="5" t="s">
        <v>9</v>
      </c>
    </row>
    <row r="2" spans="1:7" x14ac:dyDescent="0.2">
      <c r="A2" t="s">
        <v>39</v>
      </c>
      <c r="B2" s="9">
        <f>Distribution!$B$7*marketHyp[[#This Row],[Value]]</f>
        <v>19400</v>
      </c>
      <c r="C2" s="9" t="e">
        <f>Revenues[[#This Row],[Users]]*#REF!</f>
        <v>#REF!</v>
      </c>
      <c r="D2" s="6" t="e">
        <f>Pricing[[#This Row],[Monthly Price (€)]]*Distribution!$B$7*marketHyp[[#This Row],[Value]]*Distribution!#REF!</f>
        <v>#REF!</v>
      </c>
      <c r="E2" s="6" t="e">
        <f>(#REF! / 12 )*Distribution!$B$7*marketHyp[[#This Row],[Value]]*Distribution!#REF!</f>
        <v>#REF!</v>
      </c>
      <c r="F2" s="6" t="e">
        <f>SUM(Revenues[[#This Row],[Monthly Revenue (€)]]+Revenues[[#This Row],[Monthly from Annual subscriber]])</f>
        <v>#REF!</v>
      </c>
      <c r="G2" s="6" t="e">
        <f>12*(Revenues[[#This Row],[Monthly Revenue (€)]]+Revenues[[#This Row],[Monthly from Annual subscriber]])</f>
        <v>#REF!</v>
      </c>
    </row>
    <row r="3" spans="1:7" x14ac:dyDescent="0.2">
      <c r="A3" t="s">
        <v>2</v>
      </c>
      <c r="B3" s="9">
        <f>Distribution!$B$7*marketHyp[[#This Row],[Value]]</f>
        <v>600.00000000000057</v>
      </c>
      <c r="C3" s="9" t="e">
        <f>Revenues[[#This Row],[Users]]*#REF!</f>
        <v>#REF!</v>
      </c>
      <c r="D3" s="6" t="e">
        <f>Pricing[[#This Row],[Monthly Price (€)]]*Distribution!$B$7*marketHyp[[#This Row],[Value]]*Distribution!#REF!</f>
        <v>#REF!</v>
      </c>
      <c r="E3" s="6" t="e">
        <f>(#REF! / 12 )*Distribution!$B$7*marketHyp[[#This Row],[Value]]*Distribution!#REF!</f>
        <v>#REF!</v>
      </c>
      <c r="F3" s="6" t="e">
        <f>SUM(Revenues[[#This Row],[Monthly Revenue (€)]]+Revenues[[#This Row],[Monthly from Annual subscriber]])</f>
        <v>#REF!</v>
      </c>
      <c r="G3" s="6" t="e">
        <f>12*(Revenues[[#This Row],[Monthly Revenue (€)]]+Revenues[[#This Row],[Monthly from Annual subscriber]])</f>
        <v>#REF!</v>
      </c>
    </row>
    <row r="4" spans="1:7" x14ac:dyDescent="0.2">
      <c r="A4" t="s">
        <v>3</v>
      </c>
      <c r="B4" s="9">
        <f>Distribution!$B$7*marketHyp[[#This Row],[Value]]</f>
        <v>600</v>
      </c>
      <c r="C4" s="9" t="e">
        <f>Revenues[[#This Row],[Users]]*#REF!</f>
        <v>#REF!</v>
      </c>
      <c r="D4" s="6" t="e">
        <f>Pricing[[#This Row],[Monthly Price (€)]]*Distribution!$B$7*marketHyp[[#This Row],[Value]]*Distribution!#REF!</f>
        <v>#VALUE!</v>
      </c>
      <c r="E4" s="6" t="e">
        <f>(#REF! / 12 )*Distribution!$B$7*marketHyp[[#This Row],[Value]]*Distribution!#REF!</f>
        <v>#REF!</v>
      </c>
      <c r="F4" s="6" t="e">
        <f>SUM(Revenues[[#This Row],[Monthly Revenue (€)]]+Revenues[[#This Row],[Monthly from Annual subscriber]])</f>
        <v>#VALUE!</v>
      </c>
      <c r="G4" s="6" t="e">
        <f>12*(Revenues[[#This Row],[Monthly Revenue (€)]]+Revenues[[#This Row],[Monthly from Annual subscriber]])</f>
        <v>#VALUE!</v>
      </c>
    </row>
    <row r="5" spans="1:7" x14ac:dyDescent="0.2">
      <c r="A5" t="s">
        <v>24</v>
      </c>
      <c r="B5" s="9">
        <f>SUBTOTAL(109,Revenues[Users])</f>
        <v>20600</v>
      </c>
      <c r="C5" s="9" t="e">
        <f>SUBTOTAL(109,Revenues[websites])</f>
        <v>#REF!</v>
      </c>
      <c r="D5" s="11" t="e">
        <f>SUBTOTAL(109,Revenues[Monthly Revenue (€)])</f>
        <v>#REF!</v>
      </c>
      <c r="E5" s="11" t="e">
        <f>SUBTOTAL(109,Revenues[Monthly from Annual subscriber])</f>
        <v>#REF!</v>
      </c>
      <c r="F5" s="11" t="e">
        <f>SUBTOTAL(109,Revenues[Monthly total equivalent])</f>
        <v>#REF!</v>
      </c>
      <c r="G5" s="11" t="e">
        <f>SUBTOTAL(109,Revenues[Annual Cash (€)])</f>
        <v>#REF!</v>
      </c>
    </row>
    <row r="10" spans="1:7" x14ac:dyDescent="0.2">
      <c r="A10" t="s">
        <v>32</v>
      </c>
      <c r="B10" t="s">
        <v>33</v>
      </c>
      <c r="C10" s="10" t="s">
        <v>34</v>
      </c>
      <c r="D10" t="s">
        <v>35</v>
      </c>
    </row>
    <row r="11" spans="1:7" x14ac:dyDescent="0.2">
      <c r="A11" t="s">
        <v>26</v>
      </c>
      <c r="C11" s="10">
        <v>600000000</v>
      </c>
    </row>
    <row r="12" spans="1:7" x14ac:dyDescent="0.2">
      <c r="A12" s="15" t="s">
        <v>31</v>
      </c>
      <c r="C12" s="10" t="e">
        <f>Revenues[[#Totals],[websites]]</f>
        <v>#REF!</v>
      </c>
      <c r="D12" s="12" t="e">
        <f>Revenues[[#Totals],[websites]]/C11</f>
        <v>#REF!</v>
      </c>
    </row>
    <row r="13" spans="1:7" x14ac:dyDescent="0.2">
      <c r="A13" s="15" t="s">
        <v>27</v>
      </c>
      <c r="C13" s="9" t="e">
        <f>C12/Distribution!B4</f>
        <v>#REF!</v>
      </c>
      <c r="D13" s="12" t="e">
        <f>C13/C11</f>
        <v>#REF!</v>
      </c>
    </row>
  </sheetData>
  <pageMargins left="0.75" right="0.75" top="1" bottom="1" header="0.5" footer="0.5"/>
  <pageSetup paperSize="9" orientation="portrait" horizontalDpi="0" verticalDpi="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150" workbookViewId="0">
      <selection activeCell="C6" sqref="C6"/>
    </sheetView>
  </sheetViews>
  <sheetFormatPr baseColWidth="10" defaultColWidth="8.83203125" defaultRowHeight="15" x14ac:dyDescent="0.2"/>
  <cols>
    <col min="1" max="1" width="19" bestFit="1" customWidth="1"/>
    <col min="2" max="2" width="12.5" bestFit="1" customWidth="1"/>
    <col min="3" max="3" width="11.5" customWidth="1"/>
  </cols>
  <sheetData>
    <row r="1" spans="1:3" x14ac:dyDescent="0.2">
      <c r="A1" t="s">
        <v>10</v>
      </c>
      <c r="B1" t="s">
        <v>11</v>
      </c>
      <c r="C1" t="s">
        <v>36</v>
      </c>
    </row>
    <row r="2" spans="1:3" x14ac:dyDescent="0.2">
      <c r="A2" t="s">
        <v>12</v>
      </c>
      <c r="B2" s="11"/>
      <c r="C2" s="11" t="e">
        <f>Revenues[[#Totals],[Monthly Revenue (€)]]+Revenues[[#Totals],[Monthly from Annual subscriber]]</f>
        <v>#REF!</v>
      </c>
    </row>
    <row r="3" spans="1:3" x14ac:dyDescent="0.2">
      <c r="A3" t="s">
        <v>13</v>
      </c>
      <c r="B3" s="11"/>
      <c r="C3" s="11" t="e">
        <f>C2*12</f>
        <v>#REF!</v>
      </c>
    </row>
    <row r="4" spans="1:3" x14ac:dyDescent="0.2">
      <c r="A4" t="s">
        <v>14</v>
      </c>
      <c r="B4" s="11"/>
      <c r="C4" s="11" t="e">
        <f>C2/Distribution!$B$7</f>
        <v>#REF!</v>
      </c>
    </row>
    <row r="5" spans="1:3" x14ac:dyDescent="0.2">
      <c r="A5" t="s">
        <v>28</v>
      </c>
      <c r="B5" s="11"/>
      <c r="C5" s="11" t="e">
        <f>C4*12</f>
        <v>#REF!</v>
      </c>
    </row>
    <row r="6" spans="1:3" x14ac:dyDescent="0.2">
      <c r="A6" t="s">
        <v>15</v>
      </c>
      <c r="B6" t="s">
        <v>16</v>
      </c>
    </row>
    <row r="7" spans="1:3" x14ac:dyDescent="0.2">
      <c r="A7" t="s">
        <v>17</v>
      </c>
      <c r="B7" t="s">
        <v>18</v>
      </c>
    </row>
    <row r="8" spans="1:3" x14ac:dyDescent="0.2">
      <c r="A8" t="s">
        <v>19</v>
      </c>
      <c r="B8" t="s">
        <v>20</v>
      </c>
    </row>
    <row r="9" spans="1:3" x14ac:dyDescent="0.2">
      <c r="A9" t="s">
        <v>21</v>
      </c>
      <c r="B9" t="s">
        <v>22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Pricing</vt:lpstr>
      <vt:lpstr>Distribution</vt:lpstr>
      <vt:lpstr>Revenue Simulation</vt:lpstr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</cp:lastModifiedBy>
  <dcterms:created xsi:type="dcterms:W3CDTF">2026-01-22T22:39:17Z</dcterms:created>
  <dcterms:modified xsi:type="dcterms:W3CDTF">2026-04-21T21:04:28Z</dcterms:modified>
</cp:coreProperties>
</file>